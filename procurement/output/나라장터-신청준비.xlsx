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안내" sheetId="1" state="visible" r:id="rId1"/>
    <sheet name="등록입력" sheetId="2" state="visible" r:id="rId2"/>
    <sheet name="증빙대장" sheetId="3" state="visible" r:id="rId3"/>
    <sheet name="실적대장" sheetId="4" state="visible" r:id="rId4"/>
    <sheet name="견적입력" sheetId="5" state="visible" r:id="rId5"/>
    <sheet name="자금일정" sheetId="6" state="visible" r:id="rId6"/>
    <sheet name="평가점검" sheetId="7" state="visible" r:id="rId7"/>
    <sheet name="출처" sheetId="8" state="visible" r:id="rId8"/>
  </sheets>
  <definedNames>
    <definedName name="_xlnm._FilterDatabase" localSheetId="0" hidden="1">'읽기안내'!$A$1:$B$9</definedName>
    <definedName name="_xlnm.Print_Titles" localSheetId="0">'읽기안내'!$1:$1</definedName>
    <definedName name="_xlnm._FilterDatabase" localSheetId="1" hidden="1">'등록입력'!$A$1:$D$19</definedName>
    <definedName name="_xlnm.Print_Titles" localSheetId="1">'등록입력'!$1:$1</definedName>
    <definedName name="_xlnm._FilterDatabase" localSheetId="2" hidden="1">'증빙대장'!$A$1:$F$13</definedName>
    <definedName name="_xlnm.Print_Titles" localSheetId="2">'증빙대장'!$1:$1</definedName>
    <definedName name="_xlnm._FilterDatabase" localSheetId="3" hidden="1">'실적대장'!$A$1:$I$13</definedName>
    <definedName name="_xlnm.Print_Titles" localSheetId="3">'실적대장'!$1:$1</definedName>
    <definedName name="_xlnm._FilterDatabase" localSheetId="4" hidden="1">'견적입력'!$A$1:$G$14</definedName>
    <definedName name="_xlnm.Print_Titles" localSheetId="4">'견적입력'!$1:$1</definedName>
    <definedName name="_xlnm._FilterDatabase" localSheetId="5" hidden="1">'자금일정'!$A$1:$E$16</definedName>
    <definedName name="_xlnm.Print_Titles" localSheetId="5">'자금일정'!$1:$1</definedName>
    <definedName name="_xlnm._FilterDatabase" localSheetId="6" hidden="1">'평가점검'!$A$1:$E$11</definedName>
    <definedName name="_xlnm.Print_Titles" localSheetId="6">'평가점검'!$1:$1</definedName>
    <definedName name="_xlnm._FilterDatabase" localSheetId="7" hidden="1">'출처'!$A$1:$C$10</definedName>
    <definedName name="_xlnm.Print_Titles" localSheetId="7">'출처'!$1:$1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244433"/>
      </patternFill>
    </fill>
    <fill>
      <patternFill patternType="solid">
        <fgColor rgb="00E8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 ht="48" customHeight="1">
      <c r="A2" s="2" t="inlineStr">
        <is>
          <t>기준</t>
        </is>
      </c>
      <c r="B2" s="2" t="inlineStr">
        <is>
          <t>2026-10-20 / NARA-20261020 / 내부 신청 준비용</t>
        </is>
      </c>
    </row>
    <row r="3" ht="48" customHeight="1">
      <c r="A3" s="2" t="inlineStr">
        <is>
          <t>사용자 확인</t>
        </is>
      </c>
      <c r="B3" s="2" t="inlineStr">
        <is>
          <t>회사 미등록. 대표자 본인·사업자용 범용 공동인증서로 회사 신규 등록부터 진행</t>
        </is>
      </c>
    </row>
    <row r="4" ht="48" customHeight="1">
      <c r="A4" s="2" t="inlineStr">
        <is>
          <t>확정 범위</t>
        </is>
      </c>
      <c r="B4" s="2" t="inlineStr">
        <is>
          <t>입력안·증빙 목록·실적·원가·자금·평가 양식 준비. 실제 신청·투찰 미실행</t>
        </is>
      </c>
    </row>
    <row r="5" ht="48" customHeight="1">
      <c r="A5" s="2" t="inlineStr">
        <is>
          <t>빈칸</t>
        </is>
      </c>
      <c r="B5" s="2" t="inlineStr">
        <is>
          <t>미확인 또는 미입력입니다. 비용 0원이나 요건 충족을 뜻하지 않습니다.</t>
        </is>
      </c>
    </row>
    <row r="6" ht="48" customHeight="1">
      <c r="A6" s="2" t="inlineStr">
        <is>
          <t>수식</t>
        </is>
      </c>
      <c r="B6" s="2" t="inlineStr">
        <is>
          <t>초록 셀은 수식입니다. Excel에서 열면 재계산합니다. 모든 필수 입력 전에는 합계를 확정하지 않습니다.</t>
        </is>
      </c>
    </row>
    <row r="7" ht="48" customHeight="1">
      <c r="A7" s="2" t="inlineStr">
        <is>
          <t>개인정보</t>
        </is>
      </c>
      <c r="B7" s="2" t="inlineStr">
        <is>
          <t>고객명·여권·주민번호·연락처·인증 비밀번호를 입력하지 마세요. 보안 보관 원본 참조만 기록합니다.</t>
        </is>
      </c>
    </row>
    <row r="8" ht="48" customHeight="1">
      <c r="A8" s="2" t="inlineStr">
        <is>
          <t>원장</t>
        </is>
      </c>
      <c r="B8" s="2" t="inlineStr">
        <is>
          <t>사람 행동의 단일 원장은 foresttour/docs/사장님-가이드.md의 나라장터 절입니다.</t>
        </is>
      </c>
    </row>
    <row r="9" ht="48" customHeight="1">
      <c r="A9" s="2" t="inlineStr">
        <is>
          <t>제출</t>
        </is>
      </c>
      <c r="B9" s="2" t="inlineStr">
        <is>
          <t>공식 공고 서식과 최신 증빙을 대조해야 합니다. 이 파일은 공식 신청서가 아닙니다.</t>
        </is>
      </c>
    </row>
  </sheetData>
  <autoFilter ref="A1:B9"/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6" customWidth="1" min="3" max="3"/>
    <col width="45" customWidth="1" min="4" max="4"/>
  </cols>
  <sheetData>
    <row r="1">
      <c r="A1" s="1" t="inlineStr">
        <is>
          <t>항목</t>
        </is>
      </c>
      <c r="B1" s="1" t="inlineStr">
        <is>
          <t>입력값</t>
        </is>
      </c>
      <c r="C1" s="1" t="inlineStr">
        <is>
          <t>근거</t>
        </is>
      </c>
      <c r="D1" s="1" t="inlineStr">
        <is>
          <t>확인 메모</t>
        </is>
      </c>
    </row>
    <row r="2" ht="48" customHeight="1">
      <c r="A2" s="2" t="inlineStr">
        <is>
          <t>법인명</t>
        </is>
      </c>
      <c r="B2" s="2" t="inlineStr">
        <is>
          <t>주식회사 숲길여행</t>
        </is>
      </c>
      <c r="C2" s="2" t="inlineStr">
        <is>
          <t>사업자등록증 전사</t>
        </is>
      </c>
      <c r="D2" s="2" t="inlineStr">
        <is>
          <t>최신 원본 대조 필요</t>
        </is>
      </c>
    </row>
    <row r="3" ht="48" customHeight="1">
      <c r="A3" s="2" t="inlineStr">
        <is>
          <t>사업자등록번호</t>
        </is>
      </c>
      <c r="B3" s="2" t="inlineStr">
        <is>
          <t>584-81-01471</t>
        </is>
      </c>
      <c r="C3" s="2" t="inlineStr">
        <is>
          <t>회사서류 README</t>
        </is>
      </c>
      <c r="D3" s="2" t="inlineStr">
        <is>
          <t>최신 원본 대조 필요</t>
        </is>
      </c>
    </row>
    <row r="4" ht="48" customHeight="1">
      <c r="A4" s="2" t="inlineStr">
        <is>
          <t>법인등록번호</t>
        </is>
      </c>
      <c r="B4" s="2" t="inlineStr">
        <is>
          <t>110111-7220611</t>
        </is>
      </c>
      <c r="C4" s="2" t="inlineStr">
        <is>
          <t>회사서류 README</t>
        </is>
      </c>
      <c r="D4" s="2" t="inlineStr">
        <is>
          <t>최신 등기 대조 필요</t>
        </is>
      </c>
    </row>
    <row r="5" ht="48" customHeight="1">
      <c r="A5" s="2" t="inlineStr">
        <is>
          <t>개업일</t>
        </is>
      </c>
      <c r="B5" s="2" t="inlineStr">
        <is>
          <t>2020-01-01</t>
        </is>
      </c>
      <c r="C5" s="2" t="inlineStr">
        <is>
          <t>회사서류 README</t>
        </is>
      </c>
      <c r="D5" s="2" t="inlineStr">
        <is>
          <t>설립일과 구분</t>
        </is>
      </c>
    </row>
    <row r="6" ht="48" customHeight="1">
      <c r="A6" s="2" t="inlineStr">
        <is>
          <t>본점 주소</t>
        </is>
      </c>
      <c r="B6" s="2" t="inlineStr">
        <is>
          <t>서울특별시 강서구 공항대로 525, 1501 나-318호(등촌동, 비원오피스텔)</t>
        </is>
      </c>
      <c r="C6" s="2" t="inlineStr">
        <is>
          <t>2026-10-01 사업자등록증 DOC-14</t>
        </is>
      </c>
      <c r="D6" s="2" t="inlineStr">
        <is>
          <t>등기부의 동·건물명 표기는 다르며 아직 정정 전</t>
        </is>
      </c>
    </row>
    <row r="7" ht="48" customHeight="1">
      <c r="A7" s="2" t="inlineStr">
        <is>
          <t>우편번호</t>
        </is>
      </c>
      <c r="B7" s="2" t="n"/>
      <c r="C7" s="2" t="inlineStr">
        <is>
          <t>주소 검색 결과로 확정</t>
        </is>
      </c>
      <c r="D7" s="2" t="inlineStr">
        <is>
          <t>기존 우편번호 근거 불충분</t>
        </is>
      </c>
    </row>
    <row r="8" ht="48" customHeight="1">
      <c r="A8" s="2" t="inlineStr">
        <is>
          <t>대표자</t>
        </is>
      </c>
      <c r="B8" s="2" t="n"/>
      <c r="C8" s="2" t="inlineStr">
        <is>
          <t>최신 등기·사업자 원본</t>
        </is>
      </c>
      <c r="D8" s="2" t="inlineStr">
        <is>
          <t>원본에서 직접 입력</t>
        </is>
      </c>
    </row>
    <row r="9" ht="48" customHeight="1">
      <c r="A9" s="2" t="inlineStr">
        <is>
          <t>등록 구분</t>
        </is>
      </c>
      <c r="B9" s="2" t="inlineStr">
        <is>
          <t>본사 신규 / 국내소재 법인 / 용역</t>
        </is>
      </c>
      <c r="C9" s="2" t="inlineStr">
        <is>
          <t>사용자 미등록 확인</t>
        </is>
      </c>
      <c r="D9" s="2" t="inlineStr">
        <is>
          <t>지사 신청 제외</t>
        </is>
      </c>
    </row>
    <row r="10" ht="48" customHeight="1">
      <c r="A10" s="2" t="inlineStr">
        <is>
          <t>업종 후보</t>
        </is>
      </c>
      <c r="B10" s="2" t="inlineStr">
        <is>
          <t>국내외여행업 1262</t>
        </is>
      </c>
      <c r="C10" s="2" t="inlineStr">
        <is>
          <t>현재 관광사업등록증 DOC-07 직접 확인</t>
        </is>
      </c>
      <c r="D10" s="2" t="inlineStr">
        <is>
          <t>실제 신청 화면의 업종 코드 대조</t>
        </is>
      </c>
    </row>
    <row r="11" ht="48" customHeight="1">
      <c r="A11" s="2" t="inlineStr">
        <is>
          <t>관광사업 등록번호</t>
        </is>
      </c>
      <c r="B11" s="2" t="inlineStr">
        <is>
          <t>2026-000025</t>
        </is>
      </c>
      <c r="C11" s="2" t="inlineStr">
        <is>
          <t>현재 관광사업등록증 DOC-07</t>
        </is>
      </c>
      <c r="D11" s="2" t="inlineStr">
        <is>
          <t>사업자번호와 구분</t>
        </is>
      </c>
    </row>
    <row r="12" ht="48" customHeight="1">
      <c r="A12" s="2" t="inlineStr">
        <is>
          <t>관광사업 증서 날짜·관할청</t>
        </is>
      </c>
      <c r="B12" s="2" t="inlineStr">
        <is>
          <t>2026-09-23 / 서울특별시 강서구청장</t>
        </is>
      </c>
      <c r="C12" s="2" t="inlineStr">
        <is>
          <t>관광사업등록증 DOC-07</t>
        </is>
      </c>
      <c r="D12" s="2" t="inlineStr">
        <is>
          <t>최초 등록일은 별도 확인</t>
        </is>
      </c>
    </row>
    <row r="13" ht="48" customHeight="1">
      <c r="A13" s="2" t="inlineStr">
        <is>
          <t>현재 종업원수</t>
        </is>
      </c>
      <c r="B13" s="2" t="n"/>
      <c r="C13" s="2" t="inlineStr">
        <is>
          <t>사용자: 대표자 1명·등기임원 1명, 총 2명</t>
        </is>
      </c>
      <c r="D13" s="2" t="inlineStr">
        <is>
          <t>인원 구성을 종업원수 2명으로 자동 변환하지 않음. 화면 정의 확인 필요</t>
        </is>
      </c>
    </row>
    <row r="14" ht="48" customHeight="1">
      <c r="A14" s="2" t="inlineStr">
        <is>
          <t>회사 업무 연락처</t>
        </is>
      </c>
      <c r="B14" s="2" t="inlineStr">
        <is>
          <t>02-6091-0977</t>
        </is>
      </c>
      <c r="C14" s="2" t="inlineStr">
        <is>
          <t>사용자 직접 지정</t>
        </is>
      </c>
      <c r="D14" s="2" t="inlineStr">
        <is>
          <t>회사 대표전화</t>
        </is>
      </c>
    </row>
    <row r="15" ht="48" customHeight="1">
      <c r="A15" s="2" t="inlineStr">
        <is>
          <t>회사 업무 이메일</t>
        </is>
      </c>
      <c r="B15" s="2" t="inlineStr">
        <is>
          <t>aslan@foresttour.kr</t>
        </is>
      </c>
      <c r="C15" s="2" t="inlineStr">
        <is>
          <t>사용자 직접 지정</t>
        </is>
      </c>
      <c r="D15" s="2" t="inlineStr">
        <is>
          <t>회사 업무 이메일</t>
        </is>
      </c>
    </row>
    <row r="16" ht="48" customHeight="1">
      <c r="A16" s="2" t="inlineStr">
        <is>
          <t>인증서 종류</t>
        </is>
      </c>
      <c r="B16" s="2" t="inlineStr">
        <is>
          <t>회사 명의 사업자용 범용 공동인증서 보유(사용자 확인)</t>
        </is>
      </c>
      <c r="C16" s="2" t="inlineStr">
        <is>
          <t>사용자 보유 확인</t>
        </is>
      </c>
      <c r="D16" s="2" t="inlineStr">
        <is>
          <t>인증서 파일·비밀번호 미수집, 유효기간 확인 필요</t>
        </is>
      </c>
    </row>
    <row r="17" ht="48" customHeight="1">
      <c r="A17" s="2" t="inlineStr">
        <is>
          <t>신청자 역할</t>
        </is>
      </c>
      <c r="B17" s="2" t="inlineStr">
        <is>
          <t>대표자 본인</t>
        </is>
      </c>
      <c r="C17" s="2" t="inlineStr">
        <is>
          <t>사용자 확인</t>
        </is>
      </c>
      <c r="D17" s="2" t="inlineStr">
        <is>
          <t>개인회원 미가입: 대표자 본인 회원가입·인증부터 필요</t>
        </is>
      </c>
    </row>
    <row r="18" ht="48" customHeight="1">
      <c r="A18" s="2" t="inlineStr">
        <is>
          <t>접수번호</t>
        </is>
      </c>
      <c r="B18" s="2" t="n"/>
      <c r="C18" s="2" t="inlineStr">
        <is>
          <t>실제 신청 뒤 기록</t>
        </is>
      </c>
      <c r="D18" s="2" t="inlineStr">
        <is>
          <t>아직 신청하지 않음</t>
        </is>
      </c>
    </row>
    <row r="19" ht="48" customHeight="1">
      <c r="A19" s="2" t="inlineStr">
        <is>
          <t>승인 상태</t>
        </is>
      </c>
      <c r="B19" s="2" t="n"/>
      <c r="C19" s="2" t="inlineStr">
        <is>
          <t>조달청 승인 화면</t>
        </is>
      </c>
      <c r="D19" s="2" t="inlineStr">
        <is>
          <t>등록증 확보 전 완료 표시 금지</t>
        </is>
      </c>
    </row>
  </sheetData>
  <autoFilter ref="A1:D19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25" customWidth="1" min="4" max="4"/>
    <col width="35" customWidth="1" min="5" max="5"/>
    <col width="52" customWidth="1" min="6" max="6"/>
  </cols>
  <sheetData>
    <row r="1">
      <c r="A1" s="1" t="inlineStr">
        <is>
          <t>서류</t>
        </is>
      </c>
      <c r="B1" s="1" t="inlineStr">
        <is>
          <t>적용 단계</t>
        </is>
      </c>
      <c r="C1" s="1" t="inlineStr">
        <is>
          <t>상태</t>
        </is>
      </c>
      <c r="D1" s="1" t="inlineStr">
        <is>
          <t>발급·만료일</t>
        </is>
      </c>
      <c r="E1" s="1" t="inlineStr">
        <is>
          <t>보안 원본 참조</t>
        </is>
      </c>
      <c r="F1" s="1" t="inlineStr">
        <is>
          <t>메모</t>
        </is>
      </c>
    </row>
    <row r="2" ht="48" customHeight="1">
      <c r="A2" s="2" t="inlineStr">
        <is>
          <t>사업자등록증</t>
        </is>
      </c>
      <c r="B2" s="2" t="inlineStr">
        <is>
          <t>기본 등록</t>
        </is>
      </c>
      <c r="C2" s="2" t="inlineStr">
        <is>
          <t>사본 있음</t>
        </is>
      </c>
      <c r="D2" s="2" t="inlineStr">
        <is>
          <t>2026-10-01</t>
        </is>
      </c>
      <c r="E2" s="2" t="inlineStr">
        <is>
          <t>비공개 보관 DOC-14</t>
        </is>
      </c>
      <c r="F2" s="2" t="inlineStr">
        <is>
          <t>현재 강서구 주소 직접 확인</t>
        </is>
      </c>
    </row>
    <row r="3" ht="48" customHeight="1">
      <c r="A3" s="2" t="inlineStr">
        <is>
          <t>최신 법인등기</t>
        </is>
      </c>
      <c r="B3" s="2" t="inlineStr">
        <is>
          <t>기본·대표자·지역</t>
        </is>
      </c>
      <c r="C3" s="2" t="inlineStr">
        <is>
          <t>사본 있음</t>
        </is>
      </c>
      <c r="D3" s="2" t="inlineStr">
        <is>
          <t>2026-09-29</t>
        </is>
      </c>
      <c r="E3" s="2" t="inlineStr">
        <is>
          <t>비공개 보관 DOC-10</t>
        </is>
      </c>
      <c r="F3" s="2" t="inlineStr">
        <is>
          <t>동·건물명 불일치, 사용자 확인: 정정 전</t>
        </is>
      </c>
    </row>
    <row r="4" ht="48" customHeight="1">
      <c r="A4" s="2" t="inlineStr">
        <is>
          <t>관광사업등록증</t>
        </is>
      </c>
      <c r="B4" s="2" t="inlineStr">
        <is>
          <t>업종 1262</t>
        </is>
      </c>
      <c r="C4" s="2" t="inlineStr">
        <is>
          <t>사본 있음</t>
        </is>
      </c>
      <c r="D4" s="2" t="inlineStr">
        <is>
          <t>2026-09-23</t>
        </is>
      </c>
      <c r="E4" s="2" t="inlineStr">
        <is>
          <t>비공개 보관 DOC-07</t>
        </is>
      </c>
      <c r="F4" s="2" t="inlineStr">
        <is>
          <t>국내외여행업·새 번호·강서구 주소 확인</t>
        </is>
      </c>
    </row>
    <row r="5" ht="48" customHeight="1">
      <c r="A5" s="2" t="inlineStr">
        <is>
          <t>인감·사용인감</t>
        </is>
      </c>
      <c r="B5" s="2" t="inlineStr">
        <is>
          <t>신청별 요구</t>
        </is>
      </c>
      <c r="C5" s="2" t="inlineStr">
        <is>
          <t>미확인</t>
        </is>
      </c>
      <c r="D5" s="2" t="n"/>
      <c r="E5" s="2" t="n"/>
      <c r="F5" s="2" t="inlineStr">
        <is>
          <t>현행 화면의 실제 요구에 따름</t>
        </is>
      </c>
    </row>
    <row r="6" ht="48" customHeight="1">
      <c r="A6" s="2" t="inlineStr">
        <is>
          <t>대리인 인정 자료</t>
        </is>
      </c>
      <c r="B6" s="2" t="inlineStr">
        <is>
          <t>대리인 경로만</t>
        </is>
      </c>
      <c r="C6" s="2" t="inlineStr">
        <is>
          <t>해당 없음</t>
        </is>
      </c>
      <c r="D6" s="2" t="n"/>
      <c r="E6" s="2" t="n"/>
      <c r="F6" s="2" t="inlineStr">
        <is>
          <t>사용자 확인: 대표자 본인 직접 신청</t>
        </is>
      </c>
    </row>
    <row r="7" ht="48" customHeight="1">
      <c r="A7" s="2" t="inlineStr">
        <is>
          <t>소기업·소상공인확인</t>
        </is>
      </c>
      <c r="B7" s="2" t="inlineStr">
        <is>
          <t>해당 공고</t>
        </is>
      </c>
      <c r="C7" s="2" t="inlineStr">
        <is>
          <t>미확인</t>
        </is>
      </c>
      <c r="D7" s="2" t="n"/>
      <c r="E7" s="2" t="n"/>
      <c r="F7" s="2" t="inlineStr">
        <is>
          <t>입찰용 규모·유효기간·공공구매망</t>
        </is>
      </c>
    </row>
    <row r="8" ht="48" customHeight="1">
      <c r="A8" s="2" t="inlineStr">
        <is>
          <t>공공입찰용 신용평가</t>
        </is>
      </c>
      <c r="B8" s="2" t="inlineStr">
        <is>
          <t>해당 공고</t>
        </is>
      </c>
      <c r="C8" s="2" t="inlineStr">
        <is>
          <t>미확인</t>
        </is>
      </c>
      <c r="D8" s="2" t="n"/>
      <c r="E8" s="2" t="n"/>
      <c r="F8" s="2" t="inlineStr">
        <is>
          <t>공고 전 평가 요구 여부 확인</t>
        </is>
      </c>
    </row>
    <row r="9" ht="48" customHeight="1">
      <c r="A9" s="2" t="inlineStr">
        <is>
          <t>발주처 실적증명</t>
        </is>
      </c>
      <c r="B9" s="2" t="inlineStr">
        <is>
          <t>해당 공고</t>
        </is>
      </c>
      <c r="C9" s="2" t="inlineStr">
        <is>
          <t>미확인</t>
        </is>
      </c>
      <c r="D9" s="2" t="n"/>
      <c r="E9" s="2" t="n"/>
      <c r="F9" s="2" t="inlineStr">
        <is>
          <t>카페 여행 기록과 구분</t>
        </is>
      </c>
    </row>
    <row r="10" ht="48" customHeight="1">
      <c r="A10" s="2" t="inlineStr">
        <is>
          <t>여행업 보험·공제</t>
        </is>
      </c>
      <c r="B10" s="2" t="inlineStr">
        <is>
          <t>해당 공고·업종</t>
        </is>
      </c>
      <c r="C10" s="2" t="inlineStr">
        <is>
          <t>미확인</t>
        </is>
      </c>
      <c r="D10" s="2" t="n"/>
      <c r="E10" s="2" t="n"/>
      <c r="F10" s="2" t="inlineStr">
        <is>
          <t>현재 증권과 보장기간 확인</t>
        </is>
      </c>
    </row>
    <row r="11" ht="48" customHeight="1">
      <c r="A11" s="2" t="inlineStr">
        <is>
          <t>입찰·계약 보증</t>
        </is>
      </c>
      <c r="B11" s="2" t="inlineStr">
        <is>
          <t>해당 공고</t>
        </is>
      </c>
      <c r="C11" s="2" t="inlineStr">
        <is>
          <t>미확인</t>
        </is>
      </c>
      <c r="D11" s="2" t="n"/>
      <c r="E11" s="2" t="n"/>
      <c r="F11" s="2" t="inlineStr">
        <is>
          <t>보증액과 보험료·담보를 구분</t>
        </is>
      </c>
    </row>
    <row r="12" ht="48" customHeight="1">
      <c r="A12" s="2" t="inlineStr">
        <is>
          <t>납세·보험 완납</t>
        </is>
      </c>
      <c r="B12" s="2" t="inlineStr">
        <is>
          <t>공고·계약별 요구</t>
        </is>
      </c>
      <c r="C12" s="2" t="inlineStr">
        <is>
          <t>미확인</t>
        </is>
      </c>
      <c r="D12" s="2" t="n"/>
      <c r="E12" s="2" t="n"/>
      <c r="F12" s="2" t="inlineStr">
        <is>
          <t>유효기간과 실제 제출 시점 확인</t>
        </is>
      </c>
    </row>
    <row r="13" ht="48" customHeight="1">
      <c r="A13" s="2" t="inlineStr">
        <is>
          <t>공급사 확약·계약</t>
        </is>
      </c>
      <c r="B13" s="2" t="inlineStr">
        <is>
          <t>수행 검증</t>
        </is>
      </c>
      <c r="C13" s="2" t="inlineStr">
        <is>
          <t>미확인</t>
        </is>
      </c>
      <c r="D13" s="2" t="n"/>
      <c r="E13" s="2" t="n"/>
      <c r="F13" s="2" t="inlineStr">
        <is>
          <t>항공·호텔·차량·식사 등</t>
        </is>
      </c>
    </row>
  </sheetData>
  <autoFilter ref="A1:F13"/>
  <dataValidations count="1">
    <dataValidation sqref="C2:C13" showDropDown="0" showInputMessage="0" showErrorMessage="0" allowBlank="0" type="list">
      <formula1>"미확인,사본 있음,유효 원본 확인,발급 필요,해당 없음"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3" customWidth="1" min="3" max="3"/>
    <col width="20" customWidth="1" min="4" max="4"/>
    <col width="22" customWidth="1" min="5" max="5"/>
    <col width="24" customWidth="1" min="6" max="6"/>
    <col width="24" customWidth="1" min="7" max="7"/>
    <col width="40" customWidth="1" min="8" max="8"/>
    <col width="35" customWidth="1" min="9" max="9"/>
  </cols>
  <sheetData>
    <row r="1">
      <c r="A1" s="1" t="inlineStr">
        <is>
          <t>내부 식별자</t>
        </is>
      </c>
      <c r="B1" s="1" t="inlineStr">
        <is>
          <t>용역·여행명</t>
        </is>
      </c>
      <c r="C1" s="1" t="inlineStr">
        <is>
          <t>발주처 유형</t>
        </is>
      </c>
      <c r="D1" s="1" t="inlineStr">
        <is>
          <t>완료일</t>
        </is>
      </c>
      <c r="E1" s="1" t="inlineStr">
        <is>
          <t>계약금액 원</t>
        </is>
      </c>
      <c r="F1" s="1" t="inlineStr">
        <is>
          <t>공고 인정금액 원</t>
        </is>
      </c>
      <c r="G1" s="1" t="inlineStr">
        <is>
          <t>증명서 발급 여부</t>
        </is>
      </c>
      <c r="H1" s="1" t="inlineStr">
        <is>
          <t>인정기간·범위 검토</t>
        </is>
      </c>
      <c r="I1" s="1" t="inlineStr">
        <is>
          <t>보안 원본 참조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4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4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4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4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4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</sheetData>
  <autoFilter ref="A1:I13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5" customWidth="1" min="3" max="3"/>
    <col width="18" customWidth="1" min="4" max="4"/>
    <col width="22" customWidth="1" min="5" max="5"/>
    <col width="38" customWidth="1" min="6" max="6"/>
    <col width="48" customWidth="1" min="7" max="7"/>
  </cols>
  <sheetData>
    <row r="1">
      <c r="A1" s="1" t="inlineStr">
        <is>
          <t>비용 항목</t>
        </is>
      </c>
      <c r="B1" s="1" t="inlineStr">
        <is>
          <t>단가 원</t>
        </is>
      </c>
      <c r="C1" s="1" t="inlineStr">
        <is>
          <t>수량</t>
        </is>
      </c>
      <c r="D1" s="1" t="inlineStr">
        <is>
          <t>횟수·박수</t>
        </is>
      </c>
      <c r="E1" s="1" t="inlineStr">
        <is>
          <t>금액 원</t>
        </is>
      </c>
      <c r="F1" s="1" t="inlineStr">
        <is>
          <t>견적 근거·유효일</t>
        </is>
      </c>
      <c r="G1" s="1" t="inlineStr">
        <is>
          <t>취소·환율·세금 메모</t>
        </is>
      </c>
    </row>
    <row r="2" ht="48" customHeight="1">
      <c r="A2" s="2" t="inlineStr">
        <is>
          <t>항공·세금·유류</t>
        </is>
      </c>
      <c r="B2" s="3" t="n"/>
      <c r="C2" s="3" t="n"/>
      <c r="D2" s="3" t="n"/>
      <c r="E2" s="4">
        <f>IF(COUNT(B2:D2)=3,ROUND(B2*C2*D2,0),"")</f>
        <v/>
      </c>
      <c r="F2" s="2" t="n"/>
      <c r="G2" s="2" t="n"/>
    </row>
    <row r="3" ht="48" customHeight="1">
      <c r="A3" s="2" t="inlineStr">
        <is>
          <t>국내 이동</t>
        </is>
      </c>
      <c r="B3" s="3" t="n"/>
      <c r="C3" s="3" t="n"/>
      <c r="D3" s="3" t="n"/>
      <c r="E3" s="4">
        <f>IF(COUNT(B3:D3)=3,ROUND(B3*C3*D3,0),"")</f>
        <v/>
      </c>
      <c r="F3" s="2" t="n"/>
      <c r="G3" s="2" t="n"/>
    </row>
    <row r="4" ht="48" customHeight="1">
      <c r="A4" s="2" t="inlineStr">
        <is>
          <t>현지 적법 운송</t>
        </is>
      </c>
      <c r="B4" s="3" t="n"/>
      <c r="C4" s="3" t="n"/>
      <c r="D4" s="3" t="n"/>
      <c r="E4" s="4">
        <f>IF(COUNT(B4:D4)=3,ROUND(B4*C4*D4,0),"")</f>
        <v/>
      </c>
      <c r="F4" s="2" t="n"/>
      <c r="G4" s="2" t="n"/>
    </row>
    <row r="5" ht="48" customHeight="1">
      <c r="A5" s="2" t="inlineStr">
        <is>
          <t>숙박</t>
        </is>
      </c>
      <c r="B5" s="3" t="n"/>
      <c r="C5" s="3" t="n"/>
      <c r="D5" s="3" t="n"/>
      <c r="E5" s="4">
        <f>IF(COUNT(B5:D5)=3,ROUND(B5*C5*D5,0),"")</f>
        <v/>
      </c>
      <c r="F5" s="2" t="n"/>
      <c r="G5" s="2" t="n"/>
    </row>
    <row r="6" ht="48" customHeight="1">
      <c r="A6" s="2" t="inlineStr">
        <is>
          <t>식사</t>
        </is>
      </c>
      <c r="B6" s="3" t="n"/>
      <c r="C6" s="3" t="n"/>
      <c r="D6" s="3" t="n"/>
      <c r="E6" s="4">
        <f>IF(COUNT(B6:D6)=3,ROUND(B6*C6*D6,0),"")</f>
        <v/>
      </c>
      <c r="F6" s="2" t="n"/>
      <c r="G6" s="2" t="n"/>
    </row>
    <row r="7" ht="48" customHeight="1">
      <c r="A7" s="2" t="inlineStr">
        <is>
          <t>입장·프로그램</t>
        </is>
      </c>
      <c r="B7" s="3" t="n"/>
      <c r="C7" s="3" t="n"/>
      <c r="D7" s="3" t="n"/>
      <c r="E7" s="4">
        <f>IF(COUNT(B7:D7)=3,ROUND(B7*C7*D7,0),"")</f>
        <v/>
      </c>
      <c r="F7" s="2" t="n"/>
      <c r="G7" s="2" t="n"/>
    </row>
    <row r="8" ht="48" customHeight="1">
      <c r="A8" s="2" t="inlineStr">
        <is>
          <t>대장·현지 인력</t>
        </is>
      </c>
      <c r="B8" s="3" t="n"/>
      <c r="C8" s="3" t="n"/>
      <c r="D8" s="3" t="n"/>
      <c r="E8" s="4">
        <f>IF(COUNT(B8:D8)=3,ROUND(B8*C8*D8,0),"")</f>
        <v/>
      </c>
      <c r="F8" s="2" t="n"/>
      <c r="G8" s="2" t="n"/>
    </row>
    <row r="9" ht="48" customHeight="1">
      <c r="A9" s="2" t="inlineStr">
        <is>
          <t>주간·야간 안전 인력</t>
        </is>
      </c>
      <c r="B9" s="3" t="n"/>
      <c r="C9" s="3" t="n"/>
      <c r="D9" s="3" t="n"/>
      <c r="E9" s="4">
        <f>IF(COUNT(B9:D9)=3,ROUND(B9*C9*D9,0),"")</f>
        <v/>
      </c>
      <c r="F9" s="2" t="n"/>
      <c r="G9" s="2" t="n"/>
    </row>
    <row r="10" ht="48" customHeight="1">
      <c r="A10" s="2" t="inlineStr">
        <is>
          <t>여행자보험</t>
        </is>
      </c>
      <c r="B10" s="3" t="n"/>
      <c r="C10" s="3" t="n"/>
      <c r="D10" s="3" t="n"/>
      <c r="E10" s="4">
        <f>IF(COUNT(B10:D10)=3,ROUND(B10*C10*D10,0),"")</f>
        <v/>
      </c>
      <c r="F10" s="2" t="n"/>
      <c r="G10" s="2" t="n"/>
    </row>
    <row r="11" ht="48" customHeight="1">
      <c r="A11" s="2" t="inlineStr">
        <is>
          <t>보증보험 실제 보험료</t>
        </is>
      </c>
      <c r="B11" s="3" t="n"/>
      <c r="C11" s="3" t="n"/>
      <c r="D11" s="3" t="n"/>
      <c r="E11" s="4">
        <f>IF(COUNT(B11:D11)=3,ROUND(B11*C11*D11,0),"")</f>
        <v/>
      </c>
      <c r="F11" s="2" t="n"/>
      <c r="G11" s="2" t="n"/>
    </row>
    <row r="12" ht="48" customHeight="1">
      <c r="A12" s="2" t="inlineStr">
        <is>
          <t>통신·물·간식</t>
        </is>
      </c>
      <c r="B12" s="3" t="n"/>
      <c r="C12" s="3" t="n"/>
      <c r="D12" s="3" t="n"/>
      <c r="E12" s="4">
        <f>IF(COUNT(B12:D12)=3,ROUND(B12*C12*D12,0),"")</f>
        <v/>
      </c>
      <c r="F12" s="2" t="n"/>
      <c r="G12" s="2" t="n"/>
    </row>
    <row r="13" ht="48" customHeight="1">
      <c r="A13" s="2" t="inlineStr">
        <is>
          <t>환율·취소 등 위험 예산</t>
        </is>
      </c>
      <c r="B13" s="3" t="n"/>
      <c r="C13" s="3" t="n"/>
      <c r="D13" s="3" t="n"/>
      <c r="E13" s="4">
        <f>IF(COUNT(B13:D13)=3,ROUND(B13*C13*D13,0),"")</f>
        <v/>
      </c>
      <c r="F13" s="2" t="n"/>
      <c r="G13" s="2" t="n"/>
    </row>
    <row r="14" ht="48" customHeight="1">
      <c r="A14" s="2" t="inlineStr">
        <is>
          <t>기타 직접 비용</t>
        </is>
      </c>
      <c r="B14" s="3" t="n"/>
      <c r="C14" s="3" t="n"/>
      <c r="D14" s="3" t="n"/>
      <c r="E14" s="4">
        <f>IF(COUNT(B14:D14)=3,ROUND(B14*C14*D14,0),"")</f>
        <v/>
      </c>
      <c r="F14" s="2" t="n"/>
      <c r="G14" s="2" t="n"/>
    </row>
    <row r="15">
      <c r="A15" t="inlineStr">
        <is>
          <t>미사용 항목은 단가 0·수량 0·횟수 0을 입력합니다. 세금 포함·제외를 일관되게 맞춥니다.</t>
        </is>
      </c>
      <c r="B15" s="5" t="n"/>
      <c r="C15" s="5" t="n"/>
      <c r="D15" s="5" t="n"/>
      <c r="E15" s="5" t="n"/>
    </row>
    <row r="16">
      <c r="A16" t="inlineStr">
        <is>
          <t>원가 합계</t>
        </is>
      </c>
      <c r="B16" s="5" t="n"/>
      <c r="C16" s="5" t="n"/>
      <c r="D16" s="5" t="n"/>
      <c r="E16" s="5">
        <f>IF(COUNT(E2:E14)=13,SUM(E2:E14),"")</f>
        <v/>
      </c>
    </row>
    <row r="17">
      <c r="A17" t="inlineStr">
        <is>
          <t>제안 총액 입력</t>
        </is>
      </c>
      <c r="B17" s="5" t="n"/>
      <c r="C17" s="5" t="n"/>
      <c r="D17" s="5" t="n"/>
      <c r="E17" s="5" t="n"/>
    </row>
    <row r="18">
      <c r="A18" t="inlineStr">
        <is>
          <t>계약 전체 차액</t>
        </is>
      </c>
      <c r="B18" s="5" t="n"/>
      <c r="C18" s="5" t="n"/>
      <c r="D18" s="5" t="n"/>
      <c r="E18" s="5">
        <f>IF(COUNT(E16:E17)=2,E17-E16,"")</f>
        <v/>
      </c>
    </row>
    <row r="19">
      <c r="A19" t="inlineStr">
        <is>
          <t>회사 귀속 이익 별도 입력</t>
        </is>
      </c>
      <c r="B19" s="5" t="n"/>
      <c r="C19" s="5" t="n"/>
      <c r="D19" s="5" t="n"/>
      <c r="E19" s="5" t="n"/>
      <c r="G19" t="inlineStr">
        <is>
          <t>대장 배분·공통비·세무 확인 후 별도 입력. 전체 차액과 구분</t>
        </is>
      </c>
    </row>
    <row r="20">
      <c r="A20" t="inlineStr">
        <is>
          <t>주의</t>
        </is>
      </c>
      <c r="G20" t="inlineStr">
        <is>
          <t>이 표는 공고의 공식 산출내역서가 아닙니다. 실제 공고 서식에 옮겨야 합니다.</t>
        </is>
      </c>
    </row>
  </sheetData>
  <autoFilter ref="A1:G14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7" customWidth="1" min="4" max="4"/>
    <col width="80" customWidth="1" min="5" max="5"/>
  </cols>
  <sheetData>
    <row r="1">
      <c r="A1" s="1" t="inlineStr">
        <is>
          <t>일자·단계</t>
        </is>
      </c>
      <c r="B1" s="1" t="inlineStr">
        <is>
          <t>지출 원</t>
        </is>
      </c>
      <c r="C1" s="1" t="inlineStr">
        <is>
          <t>수입 원</t>
        </is>
      </c>
      <c r="D1" s="1" t="inlineStr">
        <is>
          <t>누적 잔액 원</t>
        </is>
      </c>
      <c r="E1" s="1" t="inlineStr">
        <is>
          <t>확정 근거·조건</t>
        </is>
      </c>
    </row>
    <row r="2" ht="48" customHeight="1">
      <c r="A2" s="2" t="inlineStr">
        <is>
          <t>시작 가용자금</t>
        </is>
      </c>
      <c r="B2" s="2" t="n"/>
      <c r="C2" s="2" t="n"/>
      <c r="D2" s="6">
        <f>IF(COUNT(C2)=1,C2,"")</f>
        <v/>
      </c>
      <c r="E2" s="2" t="inlineStr">
        <is>
          <t>C2에 실제 가용자금을 입력</t>
        </is>
      </c>
    </row>
    <row r="3" ht="48" customHeight="1">
      <c r="A3" s="2" t="n"/>
      <c r="B3" s="2" t="n"/>
      <c r="C3" s="2" t="n"/>
      <c r="D3" s="6">
        <f>IF(AND(ISNUMBER(D2),COUNT(B3:C3)=2),D2+C3-B3,"")</f>
        <v/>
      </c>
      <c r="E3" s="2" t="n"/>
    </row>
    <row r="4" ht="48" customHeight="1">
      <c r="A4" s="2" t="n"/>
      <c r="B4" s="2" t="n"/>
      <c r="C4" s="2" t="n"/>
      <c r="D4" s="6">
        <f>IF(AND(ISNUMBER(D3),COUNT(B4:C4)=2),D3+C4-B4,"")</f>
        <v/>
      </c>
      <c r="E4" s="2" t="n"/>
    </row>
    <row r="5" ht="48" customHeight="1">
      <c r="A5" s="2" t="n"/>
      <c r="B5" s="2" t="n"/>
      <c r="C5" s="2" t="n"/>
      <c r="D5" s="6">
        <f>IF(AND(ISNUMBER(D4),COUNT(B5:C5)=2),D4+C5-B5,"")</f>
        <v/>
      </c>
      <c r="E5" s="2" t="n"/>
    </row>
    <row r="6" ht="48" customHeight="1">
      <c r="A6" s="2" t="n"/>
      <c r="B6" s="2" t="n"/>
      <c r="C6" s="2" t="n"/>
      <c r="D6" s="6">
        <f>IF(AND(ISNUMBER(D5),COUNT(B6:C6)=2),D5+C6-B6,"")</f>
        <v/>
      </c>
      <c r="E6" s="2" t="n"/>
    </row>
    <row r="7" ht="48" customHeight="1">
      <c r="A7" s="2" t="n"/>
      <c r="B7" s="2" t="n"/>
      <c r="C7" s="2" t="n"/>
      <c r="D7" s="6">
        <f>IF(AND(ISNUMBER(D6),COUNT(B7:C7)=2),D6+C7-B7,"")</f>
        <v/>
      </c>
      <c r="E7" s="2" t="n"/>
    </row>
    <row r="8" ht="48" customHeight="1">
      <c r="A8" s="2" t="n"/>
      <c r="B8" s="2" t="n"/>
      <c r="C8" s="2" t="n"/>
      <c r="D8" s="6">
        <f>IF(AND(ISNUMBER(D7),COUNT(B8:C8)=2),D7+C8-B8,"")</f>
        <v/>
      </c>
      <c r="E8" s="2" t="n"/>
    </row>
    <row r="9" ht="48" customHeight="1">
      <c r="A9" s="2" t="n"/>
      <c r="B9" s="2" t="n"/>
      <c r="C9" s="2" t="n"/>
      <c r="D9" s="6">
        <f>IF(AND(ISNUMBER(D8),COUNT(B9:C9)=2),D8+C9-B9,"")</f>
        <v/>
      </c>
      <c r="E9" s="2" t="n"/>
    </row>
    <row r="10" ht="48" customHeight="1">
      <c r="A10" s="2" t="n"/>
      <c r="B10" s="2" t="n"/>
      <c r="C10" s="2" t="n"/>
      <c r="D10" s="6">
        <f>IF(AND(ISNUMBER(D9),COUNT(B10:C10)=2),D9+C10-B10,"")</f>
        <v/>
      </c>
      <c r="E10" s="2" t="n"/>
    </row>
    <row r="11" ht="48" customHeight="1">
      <c r="A11" s="2" t="n"/>
      <c r="B11" s="2" t="n"/>
      <c r="C11" s="2" t="n"/>
      <c r="D11" s="6">
        <f>IF(AND(ISNUMBER(D10),COUNT(B11:C11)=2),D10+C11-B11,"")</f>
        <v/>
      </c>
      <c r="E11" s="2" t="n"/>
    </row>
    <row r="12" ht="48" customHeight="1">
      <c r="A12" s="2" t="n"/>
      <c r="B12" s="2" t="n"/>
      <c r="C12" s="2" t="n"/>
      <c r="D12" s="6">
        <f>IF(AND(ISNUMBER(D11),COUNT(B12:C12)=2),D11+C12-B12,"")</f>
        <v/>
      </c>
      <c r="E12" s="2" t="n"/>
    </row>
    <row r="13" ht="48" customHeight="1">
      <c r="A13" s="2" t="n"/>
      <c r="B13" s="2" t="n"/>
      <c r="C13" s="2" t="n"/>
      <c r="D13" s="6">
        <f>IF(AND(ISNUMBER(D12),COUNT(B13:C13)=2),D12+C13-B13,"")</f>
        <v/>
      </c>
      <c r="E13" s="2" t="n"/>
    </row>
    <row r="14" ht="48" customHeight="1">
      <c r="A14" s="2" t="n"/>
      <c r="B14" s="2" t="n"/>
      <c r="C14" s="2" t="n"/>
      <c r="D14" s="6">
        <f>IF(AND(ISNUMBER(D13),COUNT(B14:C14)=2),D13+C14-B14,"")</f>
        <v/>
      </c>
      <c r="E14" s="2" t="n"/>
    </row>
    <row r="15" ht="48" customHeight="1">
      <c r="A15" s="2" t="inlineStr">
        <is>
          <t>추가 필요자금</t>
        </is>
      </c>
      <c r="B15" s="2" t="n"/>
      <c r="C15" s="2" t="n"/>
      <c r="D15" s="6">
        <f>IF(COUNT(D2:D14)=13,MAX(0,-MIN(D2:D14)),"")</f>
        <v/>
      </c>
      <c r="E15" s="2" t="inlineStr">
        <is>
          <t>모든 날짜의 지출·수입이 있어야 계산. 없는 입출금은 0 입력</t>
        </is>
      </c>
    </row>
    <row r="16" ht="48" customHeight="1">
      <c r="A16" s="2" t="inlineStr">
        <is>
          <t>보증 담보·취소 손실</t>
        </is>
      </c>
      <c r="B16" s="2" t="n"/>
      <c r="C16" s="2" t="n"/>
      <c r="D16" s="2" t="n"/>
      <c r="E16" s="2" t="inlineStr">
        <is>
          <t>보험료와 별도로 실제 현금노출을 일정에 반영</t>
        </is>
      </c>
    </row>
  </sheetData>
  <autoFilter ref="A1:E16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32" customWidth="1" min="4" max="4"/>
    <col width="62" customWidth="1" min="5" max="5"/>
  </cols>
  <sheetData>
    <row r="1">
      <c r="A1" s="1" t="inlineStr">
        <is>
          <t>항목</t>
        </is>
      </c>
      <c r="B1" s="1" t="inlineStr">
        <is>
          <t>확인된 실제 점수</t>
        </is>
      </c>
      <c r="C1" s="1" t="inlineStr">
        <is>
          <t>최고점</t>
        </is>
      </c>
      <c r="D1" s="1" t="inlineStr">
        <is>
          <t>최저 구간 가정 예시</t>
        </is>
      </c>
      <c r="E1" s="1" t="inlineStr">
        <is>
          <t>판단 근거</t>
        </is>
      </c>
    </row>
    <row r="2" ht="48" customHeight="1">
      <c r="A2" s="2" t="inlineStr">
        <is>
          <t>학교 실적</t>
        </is>
      </c>
      <c r="B2" s="2" t="n"/>
      <c r="C2" s="2" t="n">
        <v>10</v>
      </c>
      <c r="D2" s="2" t="n">
        <v>2</v>
      </c>
      <c r="E2" s="2" t="inlineStr">
        <is>
          <t>발주처 인정 실적 1건 이하라는 가정</t>
        </is>
      </c>
    </row>
    <row r="3" ht="48" customHeight="1">
      <c r="A3" s="2" t="inlineStr">
        <is>
          <t>수행조직</t>
        </is>
      </c>
      <c r="B3" s="2" t="n"/>
      <c r="C3" s="2" t="n">
        <v>5</v>
      </c>
      <c r="D3" s="2" t="n">
        <v>2</v>
      </c>
      <c r="E3" s="2" t="inlineStr">
        <is>
          <t>인정 인력 3명 이하라는 가정</t>
        </is>
      </c>
    </row>
    <row r="4" ht="48" customHeight="1">
      <c r="A4" s="2" t="inlineStr">
        <is>
          <t>국외여행인솔 자격</t>
        </is>
      </c>
      <c r="B4" s="2" t="n"/>
      <c r="C4" s="2" t="n">
        <v>5</v>
      </c>
      <c r="D4" s="2" t="n">
        <v>2</v>
      </c>
      <c r="E4" s="2" t="inlineStr">
        <is>
          <t>인정 자격 인원 2명 이하라는 가정</t>
        </is>
      </c>
    </row>
    <row r="5" ht="48" customHeight="1">
      <c r="A5" s="2" t="inlineStr">
        <is>
          <t>신용평가</t>
        </is>
      </c>
      <c r="B5" s="2" t="n"/>
      <c r="C5" s="2" t="n">
        <v>10</v>
      </c>
      <c r="D5" s="2" t="n">
        <v>0</v>
      </c>
      <c r="E5" s="2" t="inlineStr">
        <is>
          <t>공고일 전 유효 평가가 없다는 가정</t>
        </is>
      </c>
    </row>
    <row r="6" ht="48" customHeight="1">
      <c r="A6" s="2" t="inlineStr">
        <is>
          <t>정량 합계</t>
        </is>
      </c>
      <c r="B6" s="6">
        <f>IF(COUNT(B2:B5)=4,SUM(B2:B5),"")</f>
        <v/>
      </c>
      <c r="C6" s="2" t="n">
        <v>30</v>
      </c>
      <c r="D6" s="6">
        <f>SUM(D2:D5)</f>
        <v/>
      </c>
      <c r="E6" s="2" t="inlineStr">
        <is>
          <t>실제 점수는 증빙 대조 후 입력</t>
        </is>
      </c>
    </row>
    <row r="7" ht="48" customHeight="1">
      <c r="A7" s="2" t="inlineStr">
        <is>
          <t>정성 최고 가능</t>
        </is>
      </c>
      <c r="B7" s="2" t="n">
        <v>70</v>
      </c>
      <c r="C7" s="2" t="n">
        <v>70</v>
      </c>
      <c r="D7" s="2" t="n">
        <v>70</v>
      </c>
      <c r="E7" s="2" t="inlineStr">
        <is>
          <t>가정상 최고점이며 실제 취득점수 아님</t>
        </is>
      </c>
    </row>
    <row r="8" ht="48" customHeight="1">
      <c r="A8" s="2" t="inlineStr">
        <is>
          <t>최대 가능점수</t>
        </is>
      </c>
      <c r="B8" s="6">
        <f>IF(COUNT(B6:B7)=2,SUM(B6:B7),"")</f>
        <v/>
      </c>
      <c r="C8" s="2" t="n">
        <v>100</v>
      </c>
      <c r="D8" s="6">
        <f>D6+D7</f>
        <v/>
      </c>
      <c r="E8" s="2" t="inlineStr">
        <is>
          <t>최저 구간 예시는 76점</t>
        </is>
      </c>
    </row>
    <row r="9" ht="48" customHeight="1">
      <c r="A9" s="2" t="inlineStr">
        <is>
          <t>통과 기준</t>
        </is>
      </c>
      <c r="B9" s="2" t="n">
        <v>80</v>
      </c>
      <c r="C9" s="2" t="n">
        <v>80</v>
      </c>
      <c r="D9" s="2" t="n">
        <v>80</v>
      </c>
      <c r="E9" s="2" t="inlineStr">
        <is>
          <t>서울고 과업·공고 기준</t>
        </is>
      </c>
    </row>
    <row r="10" ht="48" customHeight="1">
      <c r="A10" s="2" t="inlineStr">
        <is>
          <t>점수 검토</t>
        </is>
      </c>
      <c r="B10" s="6">
        <f>IF(ISNUMBER(B8),IF(B8&lt;B9,"최대점수로도 미달","다른 자격·정성·원가 검토 필요"),"증빙 점수 미입력")</f>
        <v/>
      </c>
      <c r="C10" s="2" t="n"/>
      <c r="D10" s="6">
        <f>IF(D8&lt;D9,"최대점수로도 미달","추가 검토")</f>
        <v/>
      </c>
      <c r="E10" s="2" t="inlineStr">
        <is>
          <t>가격만 낮춰 해결할 수 없음</t>
        </is>
      </c>
    </row>
    <row r="11" ht="48" customHeight="1">
      <c r="A11" s="2" t="inlineStr">
        <is>
          <t>기준일 제약</t>
        </is>
      </c>
      <c r="B11" s="2" t="n"/>
      <c r="C11" s="2" t="n"/>
      <c r="D11" s="2" t="n"/>
      <c r="E11" s="2" t="inlineStr">
        <is>
          <t>공고 후 신규 신용평가를 이번 점수로 확정하지 않음</t>
        </is>
      </c>
    </row>
  </sheetData>
  <autoFilter ref="A1:E11"/>
  <dataValidations count="4">
    <dataValidation sqref="B2" showDropDown="0" showInputMessage="0" showErrorMessage="1" allowBlank="0" errorTitle="점수 범위 확인" error="공고 배점 안의 값을 입력하세요." type="decimal" operator="between">
      <formula1>0</formula1>
      <formula2>10</formula2>
    </dataValidation>
    <dataValidation sqref="B3" showDropDown="0" showInputMessage="0" showErrorMessage="1" allowBlank="0" errorTitle="점수 범위 확인" error="공고 배점 안의 값을 입력하세요." type="decimal" operator="between">
      <formula1>0</formula1>
      <formula2>5</formula2>
    </dataValidation>
    <dataValidation sqref="B4" showDropDown="0" showInputMessage="0" showErrorMessage="1" allowBlank="0" errorTitle="점수 범위 확인" error="공고 배점 안의 값을 입력하세요." type="decimal" operator="between">
      <formula1>0</formula1>
      <formula2>5</formula2>
    </dataValidation>
    <dataValidation sqref="B5" showDropDown="0" showInputMessage="0" showErrorMessage="1" allowBlank="0" errorTitle="점수 범위 확인" error="공고 배점 안의 값을 입력하세요." type="decimal" operator="between">
      <formula1>0</formula1>
      <formula2>10</formula2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  <col width="55" customWidth="1" min="3" max="3"/>
  </cols>
  <sheetData>
    <row r="1">
      <c r="A1" s="1" t="inlineStr">
        <is>
          <t>자료</t>
        </is>
      </c>
      <c r="B1" s="1" t="inlineStr">
        <is>
          <t>URL</t>
        </is>
      </c>
      <c r="C1" s="1" t="inlineStr">
        <is>
          <t>확인 범위</t>
        </is>
      </c>
    </row>
    <row r="2" ht="48" customHeight="1">
      <c r="A2" s="2" t="inlineStr">
        <is>
          <t>조달청 등록업무안내</t>
        </is>
      </c>
      <c r="B2" s="2" t="inlineStr">
        <is>
          <t>https://www.pps.go.kr/kor/content.do?key=00170</t>
        </is>
      </c>
      <c r="C2" s="2" t="inlineStr">
        <is>
          <t>공식 본문</t>
        </is>
      </c>
    </row>
    <row r="3" ht="48" customHeight="1">
      <c r="A3" s="2" t="inlineStr">
        <is>
          <t>조달청 용역 구비서류</t>
        </is>
      </c>
      <c r="B3" s="2" t="inlineStr">
        <is>
          <t>https://www.pps.go.kr/kor/content.do?key=00171</t>
        </is>
      </c>
      <c r="C3" s="2" t="inlineStr">
        <is>
          <t>공식 본문</t>
        </is>
      </c>
    </row>
    <row r="4" ht="48" customHeight="1">
      <c r="A4" s="2" t="inlineStr">
        <is>
          <t>정부24 참가자격 등록</t>
        </is>
      </c>
      <c r="B4" s="2" t="inlineStr">
        <is>
          <t>https://www.gov.kr/mw/AA020InfoCappView.do?CappBizCD=12300000001&amp;HighCtgCD=A09001</t>
        </is>
      </c>
      <c r="C4" s="2" t="inlineStr">
        <is>
          <t>공식 본문</t>
        </is>
      </c>
    </row>
    <row r="5" ht="48" customHeight="1">
      <c r="A5" s="2" t="inlineStr">
        <is>
          <t>나라장터 이용자 등록절차</t>
        </is>
      </c>
      <c r="B5" s="2" t="inlineStr">
        <is>
          <t>https://www.g2b.go.kr/ehelpdesk/FCSE009_01/</t>
        </is>
      </c>
      <c r="C5" s="2" t="inlineStr">
        <is>
          <t>Aside 개인회원·조달업체 탭</t>
        </is>
      </c>
    </row>
    <row r="6" ht="48" customHeight="1">
      <c r="A6" s="2" t="inlineStr">
        <is>
          <t>중소기업현황정보시스템</t>
        </is>
      </c>
      <c r="B6" s="2" t="inlineStr">
        <is>
          <t>https://sminfo.mss.go.kr/cm/sv/CSV001R0.do</t>
        </is>
      </c>
      <c r="C6" s="2" t="inlineStr">
        <is>
          <t>공식 본문</t>
        </is>
      </c>
    </row>
    <row r="7" ht="48" customHeight="1">
      <c r="A7" s="2" t="inlineStr">
        <is>
          <t>입찰참가자격등록규정</t>
        </is>
      </c>
      <c r="B7" s="2" t="inlineStr">
        <is>
          <t>https://www.law.go.kr/admRulLsInfoP.do?admRulSeq=2100000274756</t>
        </is>
      </c>
      <c r="C7" s="2" t="inlineStr">
        <is>
          <t>2026-01-23 시행판 식별. 조문 전체 검증 아님</t>
        </is>
      </c>
    </row>
    <row r="8" ht="48" customHeight="1">
      <c r="A8" s="2" t="inlineStr">
        <is>
          <t>서울고 공식 상세</t>
        </is>
      </c>
      <c r="B8" s="2" t="inlineStr">
        <is>
          <t>https://www.g2b.go.kr/link/PNPE027_01/single/?bidPbancNo=R26BK01770779&amp;bidPbancOrd=000</t>
        </is>
      </c>
      <c r="C8" s="2" t="inlineStr">
        <is>
          <t>Aside 직접 조회</t>
        </is>
      </c>
    </row>
    <row r="9" ht="48" customHeight="1">
      <c r="A9" s="2" t="inlineStr">
        <is>
          <t>서울고 공고 PDF</t>
        </is>
      </c>
      <c r="B9" s="2" t="inlineStr">
        <is>
          <t>https://www.g2b.go.kr/pn/pnp/pnpe/UntyAtchFile/downloadFile.do?bidPbancNo=R26BK01770779&amp;bidPbancOrd=000&amp;fileType=&amp;fileSeq=2&amp;prcmBsneSeCd=03</t>
        </is>
      </c>
      <c r="C9" s="2" t="inlineStr">
        <is>
          <t>공식 다운로드 200, PDF 16쪽 추출</t>
        </is>
      </c>
    </row>
    <row r="10" ht="48" customHeight="1">
      <c r="A10" s="2" t="inlineStr">
        <is>
          <t>서울고 과업 HWP</t>
        </is>
      </c>
      <c r="B10" s="2" t="inlineStr">
        <is>
          <t>https://www.g2b.go.kr/pn/pnp/pnpe/UntyAtchFile/downloadFile.do?bidPbancNo=R26BK01770779&amp;bidPbancOrd=000&amp;fileType=&amp;fileSeq=3&amp;prcmBsneSeCd=03</t>
        </is>
      </c>
      <c r="C10" s="2" t="inlineStr">
        <is>
          <t>공식 다운로드 200, HWP BodyText 추출</t>
        </is>
      </c>
    </row>
  </sheetData>
  <autoFilter ref="A1:C10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2026-10-20T08:50:56Z</dcterms:created>
  <dcterms:modified xsi:type="dcterms:W3CDTF">2026-10-20T08:50:57Z</dcterms:modified>
</cp:coreProperties>
</file>